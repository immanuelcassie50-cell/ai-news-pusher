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诊断清单" sheetId="1" r:id="rId1"/>
    <sheet name="政策工具对比" sheetId="2" r:id="rId4"/>
    <sheet name="案例记录" sheetId="3" r:id="rId5"/>
  </sheets>
  <calcPr calcId="191029"/>
</workbook>
</file>

<file path=xl/sharedStrings.xml><?xml version="1.0" encoding="utf-8"?>
<sst xmlns="http://schemas.openxmlformats.org/spreadsheetml/2006/main" count="90" uniqueCount="90">
  <si>
    <t>市场失灵诊断清单</t>
  </si>
  <si>
    <t>填写说明：蓝色单元格为输入项，黑色单元格为自动计算或选项</t>
  </si>
  <si>
    <t>诊断清单</t>
  </si>
  <si>
    <t>政策工具对比</t>
  </si>
  <si>
    <t>案例记录</t>
  </si>
  <si>
    <t>序号</t>
  </si>
  <si>
    <t>社会问题描述</t>
  </si>
  <si>
    <t>失灵类型</t>
  </si>
  <si>
    <t>具体类型</t>
  </si>
  <si>
    <t>涉及主体</t>
  </si>
  <si>
    <t>外部性方向</t>
  </si>
  <si>
    <t>推荐政策工具</t>
  </si>
  <si>
    <t>适用条件</t>
  </si>
  <si>
    <t>局限性</t>
  </si>
  <si>
    <t>本地适用性评估</t>
  </si>
  <si>
    <t>工具</t>
  </si>
  <si>
    <t>适用失灵类型</t>
  </si>
  <si>
    <t>优点</t>
  </si>
  <si>
    <t>局限性</t>
  </si>
  <si>
    <t>实施条件</t>
  </si>
  <si>
    <t>成本</t>
  </si>
  <si>
    <t>效果</t>
  </si>
  <si>
    <t>案例</t>
  </si>
  <si>
    <t>日期</t>
  </si>
  <si>
    <t>问题名称</t>
  </si>
  <si>
    <t>失灵类型</t>
  </si>
  <si>
    <t>具体情况描述</t>
  </si>
  <si>
    <t>影响分析</t>
  </si>
  <si>
    <t>建议的政策工具</t>
  </si>
  <si>
    <t>实施难点</t>
  </si>
  <si>
    <t>备注</t>
  </si>
  <si>
    <t>请记录您发现的市场失灵案例</t>
  </si>
  <si>
    <t>以下为参考模板，可根据实际情况修改</t>
  </si>
  <si>
    <t>皮古税</t>
  </si>
  <si>
    <t>负外部性</t>
  </si>
  <si>
    <t>经济效率高</t>
  </si>
  <si>
    <t>税率难确定</t>
  </si>
  <si>
    <t>需要准确量化外部性</t>
  </si>
  <si>
    <t>中</t>
  </si>
  <si>
    <t>效率最优</t>
  </si>
  <si>
    <t>碳税</t>
  </si>
  <si>
    <t>补贴</t>
  </si>
  <si>
    <t>正外部性</t>
  </si>
  <si>
    <t>鼓励生产</t>
  </si>
  <si>
    <t>财政负担</t>
  </si>
  <si>
    <t>财政负担可控</t>
  </si>
  <si>
    <t>高</t>
  </si>
  <si>
    <t>公平性高</t>
  </si>
  <si>
    <t>新能源补贴</t>
  </si>
  <si>
    <t>产权界定</t>
  </si>
  <si>
    <t>产权模糊</t>
  </si>
  <si>
    <t>激励明晰</t>
  </si>
  <si>
    <t>产权评估难</t>
  </si>
  <si>
    <t>交易成本低，产权明确</t>
  </si>
  <si>
    <t>高</t>
  </si>
  <si>
    <t>效率最优</t>
  </si>
  <si>
    <t>排污权交易</t>
  </si>
  <si>
    <t>行政管制</t>
  </si>
  <si>
    <t>紧急情况</t>
  </si>
  <si>
    <t>见效快</t>
  </si>
  <si>
    <t>灵活性差</t>
  </si>
  <si>
    <t>行政能力充足</t>
  </si>
  <si>
    <t>低-中</t>
  </si>
  <si>
    <t>短期见效</t>
  </si>
  <si>
    <t>禁塑令</t>
  </si>
  <si>
    <t>信息引导</t>
  </si>
  <si>
    <t>信息不对称</t>
  </si>
  <si>
    <t>成本低</t>
  </si>
  <si>
    <t>效果不确定</t>
  </si>
  <si>
    <t>信息充分</t>
  </si>
  <si>
    <t>低</t>
  </si>
  <si>
    <t>效果不确定</t>
  </si>
  <si>
    <t>食品标签</t>
  </si>
  <si>
    <t>2024-01-15</t>
  </si>
  <si>
    <t>工厂污染</t>
  </si>
  <si>
    <t>负外部性-生产过利</t>
  </si>
  <si>
    <t>工厂向河流排放废水</t>
  </si>
  <si>
    <t>河流污染，影响周边居民饮水</t>
  </si>
  <si>
    <t>皮古税或行政管制</t>
  </si>
  <si>
    <t>污染治理成本高</t>
  </si>
  <si>
    <t>本地环保法规完善程度</t>
  </si>
  <si>
    <t>2024-02-20</t>
  </si>
  <si>
    <t>疫苗接种不足</t>
  </si>
  <si>
    <t>正外部性-生产不足</t>
  </si>
  <si>
    <t>传染病防控接种率低</t>
  </si>
  <si>
    <t>群体免疫效果未达最佳</t>
  </si>
  <si>
    <t>补贴接种服务</t>
  </si>
  <si>
    <t>财政负担</t>
  </si>
  <si>
    <t>公平性问题</t>
  </si>
  <si>
    <t>失灵类型和外部性方向列为下拉选项，请点击单元格右侧箭头选择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</si>
</sst>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8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FFFFFFFF"/>
    </font>
    <font>
      <sz val="11"/>
      <name val="Calibri"/>
      <color rgb="FFFFFFFF"/>
    </font>
    <font>
      <sz val="11"/>
      <name val="Calibri"/>
      <color rgb="00000000"/>
    </font>
  </fonts>
  <fills count="5">
    <fill>
      <patternFill patternType="none"/>
    </fill>
    <fill>
      <patternFill patternType="gray125"/>
    </fill>
    <fill>
      <patternFill patternType="solid">
        <fgColor rgb="002C4A7C"/>
        <bgColor indexed="64"/>
      </patternFill>
    </fill>
    <fill>
      <patternFill patternType="solid">
        <fgColor rgb="00D9E8F5"/>
        <bgColor indexed="64"/>
      </patternFill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Xfs count="15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2" borderId="0" xfId="0" applyFont="1" applyFill="1"/>
    <xf numFmtId="0" fontId="2" fillId="2" borderId="0" xfId="0" applyFont="1" applyFill="1"/>
    <xf numFmtId="0" fontId="1" fillId="3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8" customWidth="1"/>
    <col min="2" max="2" width="22" customWidth="1"/>
    <col min="3" max="3" width="16" customWidth="1"/>
    <col min="4" max="4" width="14" customWidth="1"/>
    <col min="5" max="5" width="16" customWidth="1"/>
    <col min="6" max="6" width="12" customWidth="1"/>
    <col min="7" max="7" width="14" customWidth="1"/>
    <col min="8" max="8" width="18" customWidth="1"/>
    <col min="9" max="9" width="16" customWidth="1"/>
    <col min="10" max="10" width="18" customWidth="1"/>
  </cols>
  <sheetData>
    <row r="1" ht="28" customHeight="1">
      <c r="A1" s="6">
        <f>"市场失灵诊断清单"</f>
        <v/>
      </c>
    </row>
    <row r="2">
      <c r="A2" s="9">
        <f>"填写说明：蓝色单元格为输入项，黑色单元格为自动计算或选项"</f>
        <v/>
      </c>
    </row>
    <row r="3">
      <c r="A3" s="9">
        <f>"失灵类型和外部性方向列为下拉选项，请点击单元格右侧箭头选择"</f>
        <v/>
      </c>
    </row>
    <row r="4" ht="20" customHeight="1">
      <c r="A4" s="6">
        <v>5</v>
      </c>
      <c r="B4" s="6">
        <v>6</v>
      </c>
      <c r="C4" s="6">
        <v>7</v>
      </c>
      <c r="D4" s="6">
        <v>8</v>
      </c>
      <c r="E4" s="6">
        <v>9</v>
      </c>
      <c r="F4" s="6">
        <v>10</v>
      </c>
      <c r="G4" s="6">
        <v>11</v>
      </c>
      <c r="H4" s="6">
        <v>12</v>
      </c>
      <c r="I4" s="6">
        <v>13</v>
      </c>
      <c r="J4" s="6">
        <v>14</v>
      </c>
    </row>
    <row r="5">
      <c r="A5" s="12">
        <f>ROW()-4</f>
        <v/>
      </c>
      <c r="B5" s="11"/>
      <c r="C5" s="11"/>
      <c r="D5" s="11"/>
      <c r="E5" s="11"/>
      <c r="F5" s="11"/>
      <c r="G5" s="11"/>
      <c r="H5" s="11"/>
      <c r="I5" s="11"/>
      <c r="J5" s="11"/>
    </row>
    <row r="6">
      <c r="A6" s="14">
        <f>ROW()-4</f>
        <v/>
      </c>
      <c r="B6" s="13"/>
      <c r="C6" s="13"/>
      <c r="D6" s="13"/>
      <c r="E6" s="13"/>
      <c r="F6" s="13"/>
      <c r="G6" s="13"/>
      <c r="H6" s="13"/>
      <c r="I6" s="13"/>
      <c r="J6" s="13"/>
    </row>
    <row r="7">
      <c r="A7" s="12">
        <f>ROW()-4</f>
        <v/>
      </c>
      <c r="B7" s="11"/>
      <c r="C7" s="11"/>
      <c r="D7" s="11"/>
      <c r="E7" s="11"/>
      <c r="F7" s="11"/>
      <c r="G7" s="11"/>
      <c r="H7" s="11"/>
      <c r="I7" s="11"/>
      <c r="J7" s="11"/>
    </row>
    <row r="8">
      <c r="A8" s="14">
        <f>ROW()-4</f>
        <v/>
      </c>
      <c r="B8" s="13"/>
      <c r="C8" s="13"/>
      <c r="D8" s="13"/>
      <c r="E8" s="13"/>
      <c r="F8" s="13"/>
      <c r="G8" s="13"/>
      <c r="H8" s="13"/>
      <c r="I8" s="13"/>
      <c r="J8" s="13"/>
    </row>
    <row r="9">
      <c r="A9" s="12">
        <f>ROW()-4</f>
        <v/>
      </c>
      <c r="B9" s="11"/>
      <c r="C9" s="11"/>
      <c r="D9" s="11"/>
      <c r="E9" s="11"/>
      <c r="F9" s="11"/>
      <c r="G9" s="11"/>
      <c r="H9" s="11"/>
      <c r="I9" s="11"/>
      <c r="J9" s="11"/>
    </row>
    <row r="10">
      <c r="A10" s="14">
        <f>ROW()-4</f>
        <v/>
      </c>
      <c r="B10" s="13"/>
      <c r="C10" s="13"/>
      <c r="D10" s="13"/>
      <c r="E10" s="13"/>
      <c r="F10" s="13"/>
      <c r="G10" s="13"/>
      <c r="H10" s="13"/>
      <c r="I10" s="13"/>
      <c r="J10" s="13"/>
    </row>
    <row r="11">
      <c r="A11" s="12">
        <f>ROW()-4</f>
        <v/>
      </c>
      <c r="B11" s="11"/>
      <c r="C11" s="11"/>
      <c r="D11" s="11"/>
      <c r="E11" s="11"/>
      <c r="F11" s="11"/>
      <c r="G11" s="11"/>
      <c r="H11" s="11"/>
      <c r="I11" s="11"/>
      <c r="J11" s="11"/>
    </row>
    <row r="12">
      <c r="A12" s="14">
        <f>ROW()-4</f>
        <v/>
      </c>
      <c r="B12" s="13"/>
      <c r="C12" s="13"/>
      <c r="D12" s="13"/>
      <c r="E12" s="13"/>
      <c r="F12" s="13"/>
      <c r="G12" s="13"/>
      <c r="H12" s="13"/>
      <c r="I12" s="13"/>
      <c r="J12" s="13"/>
    </row>
    <row r="13">
      <c r="A13" s="12">
        <f>ROW()-4</f>
        <v/>
      </c>
      <c r="B13" s="11"/>
      <c r="C13" s="11"/>
      <c r="D13" s="11"/>
      <c r="E13" s="11"/>
      <c r="F13" s="11"/>
      <c r="G13" s="11"/>
      <c r="H13" s="11"/>
      <c r="I13" s="11"/>
      <c r="J13" s="11"/>
    </row>
    <row r="14">
      <c r="A14" s="14">
        <f>ROW()-4</f>
        <v/>
      </c>
      <c r="B14" s="13"/>
      <c r="C14" s="13"/>
      <c r="D14" s="13"/>
      <c r="E14" s="13"/>
      <c r="F14" s="13"/>
      <c r="G14" s="13"/>
      <c r="H14" s="13"/>
      <c r="I14" s="13"/>
      <c r="J14" s="13"/>
    </row>
    <row r="15">
      <c r="A15" s="12">
        <f>ROW()-4</f>
        <v/>
      </c>
      <c r="B15" s="11"/>
      <c r="C15" s="11"/>
      <c r="D15" s="11"/>
      <c r="E15" s="11"/>
      <c r="F15" s="11"/>
      <c r="G15" s="11"/>
      <c r="H15" s="11"/>
      <c r="I15" s="11"/>
      <c r="J15" s="11"/>
    </row>
  </sheetData>
  <dataValidations count="2">
    <dataValidation type="list" sqref="C5:C15" allowBlank="1" showInputMessage="1" promptTitle="失灵类型" prompt="请选择：外部性/公共品/公地悲剧/信息不对称">
      <formula1>"外部性,公共品,公地悲剧,信息不对称"</formula1>
    </dataValidation>
    <dataValidation type="list" sqref="F5:F15" allowBlank="1" showInputMessage="1" promptTitle="外部性方向" prompt="请选择：正/负">
      <formula1>"正,负"</formula1>
    </dataValidation>
  </dataValidations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4" customWidth="1"/>
    <col min="2" max="2" width="16" customWidth="1"/>
    <col min="3" max="3" width="16" customWidth="1"/>
    <col min="4" max="4" width="16" customWidth="1"/>
    <col min="5" max="5" width="22" customWidth="1"/>
    <col min="6" max="6" width="10" customWidth="1"/>
    <col min="7" max="7" width="14" customWidth="1"/>
    <col min="8" max="8" width="14" customWidth="1"/>
  </cols>
  <sheetData>
    <row r="1" ht="20" customHeight="1">
      <c r="A1" s="6">
        <v>15</v>
      </c>
      <c r="B1" s="6">
        <v>16</v>
      </c>
      <c r="C1" s="6">
        <v>17</v>
      </c>
      <c r="D1" s="6">
        <v>18</v>
      </c>
      <c r="E1" s="6">
        <v>19</v>
      </c>
      <c r="F1" s="6">
        <v>20</v>
      </c>
      <c r="G1" s="6">
        <v>21</v>
      </c>
      <c r="H1" s="6">
        <v>22</v>
      </c>
    </row>
    <row r="2">
      <c r="A2" s="11">
        <v>31</v>
      </c>
      <c r="B2" s="11">
        <v>32</v>
      </c>
      <c r="C2" s="11">
        <v>33</v>
      </c>
      <c r="D2" s="11">
        <v>34</v>
      </c>
      <c r="E2" s="11">
        <v>35</v>
      </c>
      <c r="F2" s="11">
        <v>36</v>
      </c>
      <c r="G2" s="11">
        <v>37</v>
      </c>
      <c r="H2" s="11">
        <v>38</v>
      </c>
    </row>
    <row r="3">
      <c r="A3" s="13">
        <v>39</v>
      </c>
      <c r="B3" s="13">
        <v>40</v>
      </c>
      <c r="C3" s="13">
        <v>41</v>
      </c>
      <c r="D3" s="13">
        <v>42</v>
      </c>
      <c r="E3" s="13">
        <v>43</v>
      </c>
      <c r="F3" s="13">
        <v>44</v>
      </c>
      <c r="G3" s="13">
        <v>45</v>
      </c>
      <c r="H3" s="13">
        <v>46</v>
      </c>
    </row>
    <row r="4">
      <c r="A4" s="11">
        <v>47</v>
      </c>
      <c r="B4" s="11">
        <v>48</v>
      </c>
      <c r="C4" s="11">
        <v>49</v>
      </c>
      <c r="D4" s="11">
        <v>50</v>
      </c>
      <c r="E4" s="11">
        <v>51</v>
      </c>
      <c r="F4" s="11">
        <v>52</v>
      </c>
      <c r="G4" s="11">
        <v>53</v>
      </c>
      <c r="H4" s="11">
        <v>54</v>
      </c>
    </row>
    <row r="5">
      <c r="A5" s="13">
        <v>55</v>
      </c>
      <c r="B5" s="13">
        <v>56</v>
      </c>
      <c r="C5" s="13">
        <v>57</v>
      </c>
      <c r="D5" s="13">
        <v>58</v>
      </c>
      <c r="E5" s="13">
        <v>59</v>
      </c>
      <c r="F5" s="13">
        <v>60</v>
      </c>
      <c r="G5" s="13">
        <v>61</v>
      </c>
      <c r="H5" s="13">
        <v>62</v>
      </c>
    </row>
    <row r="6">
      <c r="A6" s="11">
        <v>63</v>
      </c>
      <c r="B6" s="11">
        <v>64</v>
      </c>
      <c r="C6" s="11">
        <v>65</v>
      </c>
      <c r="D6" s="11">
        <v>66</v>
      </c>
      <c r="E6" s="11">
        <v>67</v>
      </c>
      <c r="F6" s="11">
        <v>68</v>
      </c>
      <c r="G6" s="11">
        <v>69</v>
      </c>
      <c r="H6" s="1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4" customWidth="1"/>
    <col min="2" max="2" width="16" customWidth="1"/>
    <col min="3" max="3" width="18" customWidth="1"/>
    <col min="4" max="4" width="22" customWidth="1"/>
    <col min="5" max="5" width="22" customWidth="1"/>
    <col min="6" max="6" width="18" customWidth="1"/>
    <col min="7" max="7" width="16" customWidth="1"/>
    <col min="8" max="8" width="16" customWidth="1"/>
  </cols>
  <sheetData>
    <row r="1" ht="28" customHeight="1">
      <c r="A1" s="6">
        <f>"案例记录"</f>
        <v/>
      </c>
    </row>
    <row r="2">
      <c r="A2" s="9">
        <f>"请记录您发现的市场失灵案例"</f>
        <v/>
      </c>
    </row>
    <row r="3">
      <c r="A3" s="9">
        <f>"以下为参考模板，可根据实际情况修改"</f>
        <v/>
      </c>
    </row>
    <row r="4" ht="20" customHeight="1">
      <c r="A4" s="6">
        <v>23</v>
      </c>
      <c r="B4" s="6">
        <v>24</v>
      </c>
      <c r="C4" s="6">
        <v>25</v>
      </c>
      <c r="D4" s="6">
        <v>26</v>
      </c>
      <c r="E4" s="6">
        <v>27</v>
      </c>
      <c r="F4" s="6">
        <v>28</v>
      </c>
      <c r="G4" s="6">
        <v>29</v>
      </c>
      <c r="H4" s="6">
        <v>30</v>
      </c>
    </row>
    <row r="5">
      <c r="A5" s="11">
        <v>71</v>
      </c>
      <c r="B5" s="11">
        <v>72</v>
      </c>
      <c r="C5" s="11">
        <v>73</v>
      </c>
      <c r="D5" s="11">
        <v>74</v>
      </c>
      <c r="E5" s="11">
        <v>75</v>
      </c>
      <c r="F5" s="11">
        <v>76</v>
      </c>
      <c r="G5" s="11">
        <v>77</v>
      </c>
      <c r="H5" s="11">
        <v>78</v>
      </c>
    </row>
    <row r="6">
      <c r="A6" s="13">
        <v>79</v>
      </c>
      <c r="B6" s="13">
        <v>80</v>
      </c>
      <c r="C6" s="13">
        <v>81</v>
      </c>
      <c r="D6" s="13">
        <v>82</v>
      </c>
      <c r="E6" s="13">
        <v>83</v>
      </c>
      <c r="F6" s="13">
        <v>84</v>
      </c>
      <c r="G6" s="13">
        <v>85</v>
      </c>
      <c r="H6" s="13">
        <v>86</v>
      </c>
    </row>
    <row r="7">
      <c r="A7" s="11"/>
      <c r="B7" s="11"/>
      <c r="C7" s="11"/>
      <c r="D7" s="11"/>
      <c r="E7" s="11"/>
      <c r="F7" s="11"/>
      <c r="G7" s="11"/>
      <c r="H7" s="11"/>
    </row>
    <row r="8">
      <c r="A8" s="13"/>
      <c r="B8" s="13"/>
      <c r="C8" s="13"/>
      <c r="D8" s="13"/>
      <c r="E8" s="13"/>
      <c r="F8" s="13"/>
      <c r="G8" s="13"/>
      <c r="H8" s="13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3"/>
      <c r="B10" s="13"/>
      <c r="C10" s="13"/>
      <c r="D10" s="13"/>
      <c r="E10" s="13"/>
      <c r="F10" s="13"/>
      <c r="G10" s="13"/>
      <c r="H10" s="13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3"/>
      <c r="B12" s="13"/>
      <c r="C12" s="13"/>
      <c r="D12" s="13"/>
      <c r="E12" s="13"/>
      <c r="F12" s="13"/>
      <c r="G12" s="13"/>
      <c r="H12" s="13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3"/>
      <c r="B14" s="13"/>
      <c r="C14" s="13"/>
      <c r="D14" s="13"/>
      <c r="E14" s="13"/>
      <c r="F14" s="13"/>
      <c r="G14" s="13"/>
      <c r="H14" s="13"/>
    </row>
    <row r="15">
      <c r="A15" s="11"/>
      <c r="B15" s="11"/>
      <c r="C15" s="11"/>
      <c r="D15" s="11"/>
      <c r="E15" s="11"/>
      <c r="F15" s="11"/>
      <c r="G15" s="11"/>
      <c r="H15" s="11"/>
    </row>
  </sheetData>
  <pageMargins left="0.7" right="0.7" top="0.75" bottom="0.75" header="0.3" footer="0.3"/>
</worksheet>
</file>