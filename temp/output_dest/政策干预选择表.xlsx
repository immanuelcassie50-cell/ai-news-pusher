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政策选择流程" sheetId="1" r:id="rId1"/>
    <sheet name="政策效果追踪" sheetId="2" r:id="rId4"/>
    <sheet name="工具计算器" sheetId="3" r:id="rId5"/>
  </sheets>
  <calcPr calcId="191029"/>
</workbook>
</file>

<file path=xl/sharedStrings.xml><?xml version="1.0" encoding="UTF-8" standalone="yes"?>
<sst xmlns="http://schemas.openxmlformats.org/spreadsheetml/2006/main" count="99" uniqueCount="99">
<si><t>政策干预选择流程</t></si><si><t>通过以下步骤判断应采取的政策干预类型</t></si><si><t>步骤</t></si><si><t>判断内容</t></si><si><t>问题</t></si><si><t>选项/映射</t></si><si><t>说明</t></si><si><t>Step 1</t></si><si><t>判断是否市场失灵</t></si><si><t>市场是否有效配置资源？</t></si><si><t>是(无需干预) / 否(进入下一步)</t></si><si><t>如果市场能够有效配置资源，则不需要政府干预</t></si><si><t>Step 2</t></si><si><t>识别失灵类型</t></si><si><t>失灵属于哪种类型？</t></si><si><t>外部性 / 公共品 / 公地悲剧 / 信息不对称</t></si><si><t>外部性：生产或消费对第三方造成影响；公共品：具有非竞争性、非排他性；公地悲剧：公共资源被过度使用；信息不对称：交易双方信息不平等</t></si><si><t>Step 3</t></si><si><t>确定外部性方向和强度</t></si><si><t>外部性方向和强度？</t></si><si><t>负外部性强 / 负外部性弱 / 正外部性强 / 正外部性弱</t></si><si><t>负外部性：私人成本小于社会成本（如污染）；正外部性：私人收益小于社会收益（如疫苗接种）</t></si><si><t>Step 4</t></si><si><t>选择政策工具</t></si><si><t>选择什么政策工具？</t></si><si><t>负外部性→皮古税/管制；正外部性→补贴；公共品→政府供给/补贴；公地悲剧→产权界定/管制；信息不对称→信息引导</t></si><si><t>皮古税：对负外部性征税使外部成本内部化；补贴：对正外部性补贴使外部收益内部化；产权界定：明确资源产权通过市场交易解决</t></si><si><t>Step 5</t></si><si><t>评估可行性</t></si><si><t>实施条件是否具备？</t></si><si><t>实施成本 / 公平性 / 政治可行性</t></si><si><t>实施成本：行政成本和信息成本；公平性：政策对不同群体的影响是否公平；政治可行性：政策是否容易被接受和执行</t></si><si><t>政策效果追踪</t></si><si><t>政策名称</t></si><si><t>实施前指标</t></si><si><t>实施后指标</t></si><si><t>变化率</t></si><si><t>评估结果</t></si><si><t>备注</t></si><si><t>碳税政策</t></si><si><t>碳排放量（万吨）</t></si><si><t>8500</t></si><si><t>7200</t></si><si><t>=(D38-C38)/C38</t></si><si><t>效果显著</t></si><si><t>实施第一年减排约15%</t></si><si><t>新能源补贴政策</t></si><si><t>新能源汽车销量（万辆）</t></si><si><t>120</t></si><si><t>280</t></si><si><t>=(D39-C39)/C39</t></si><si><t>效果良好</t></si><si><t>销量增长超过预期</t></si><si><t>工具计算器</t></si><si><t>计算器名称</t></si><si><t>输入参数</t></si><si><t>参数值</t></si><si><t>计算结果</t></si><si><t>公式说明</t></si><si><t>备注</t></si><si><t>输入项（蓝色）</t></si><si><t>计算结果（黑色）</t></si><si><t>皮古税计算器</t></si><si><t>外部边际成本(MEC)</t></si><si><t>产量(Q)</t></si><si><t>最优税率 = MEC</t></si><si><t>税费 = MEC × Q</t></si><si><t>皮古税通过对负外部性产品征税，使私人成本等于社会成本</t></si><si><t>请输入MEC和Q的值</t></si><si><t>碳配额计算器</t></si><si><t>目标排放量</t></si><si><t>实际排放量</t></si><si><t>配额缺口/盈余 = 目标排放量 - 实际排放量</t></si><si><t>建议碳价 = 配额缺口 × 市场均价</t></si><si><t>当实际排放 > 目标排放时为缺口（需购买配额）；当实际排放 < 目标排放时为盈余（可出售配额）</t></si><si><t>请输入目标排放和实际排放的值</t></si><si><t>计算结果单元格中的公式会实时计算，无需手动修改</t></si><si><t>皮古税计算器</t></si><si><t>外部边际成本(MEC，元/吨）</t></si><si><t></t></si><si><t>产量(Q，单位）</t></si><si><t></t></si><si><t>最优税率</t></si><si><t></t></si><si><t>税费总额</t></si><si><t></t></si><si><t>碳配额计算器</t></si><si><t>目标排放量（万吨）</t></si><si><t></t></si><si><t>实际排放量（万吨）</t></si><si><t></t></si><si><t>配额缺口/盈余（万吨）</t></si><si><t></t></si><si><t>建议碳价（元/吨）</t></si><si><t></t></si><si><t>市场碳价（元/吨）</t></si><si><t></t></si><si><t>公式：配额缺口 × 市场碳价</t></si><si><t></t></si>
</sst>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8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FFFFFFFF"/>
    </font>
    <font>
      <sz val="11"/>
      <name val="Calibri"/>
      <color rgb="FFFFFFFF"/>
    </font>
    <font>
      <sz val="11"/>
      <name val="Calibri"/>
      <color rgb="00000000"/>
    </font>
  </fonts>
  <fills count="5">
    <fill>
      <patternFill patternType="none"/>
    </fill>
    <fill>
      <patternFill patternType="gray125"/>
    </fill>
    <fill>
      <patternFill patternType="solid">
        <fgColor rgb="002C4A7C"/>
        <bgColor indexed="64"/>
      </patternFill>
    </fill>
    <fill>
      <patternFill patternType="solid">
        <fgColor rgb="00D9E8F5"/>
        <bgColor indexed="64"/>
      </patternFill>
    </fill>
    <fill>
      <patternFill patternType="solid">
        <fgColor rgb="00FFFFFF"/>
        <bgColor indexed="6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Xfs count="15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1" fillId="2" borderId="0" xfId="0" applyFont="1" applyFill="1"/>
    <xf numFmtId="0" fontId="2" fillId="2" borderId="0" xfId="0" applyFont="1" applyFill="1"/>
    <xf numFmtId="0" fontId="1" fillId="3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10" customWidth="1"/>
    <col min="2" max="2" width="18" customWidth="1"/>
    <col min="3" max="3" width="28" customWidth="1"/>
    <col min="4" max="4" width="48" customWidth="1"/>
    <col min="5" max="5" width="50" customWidth="1"/>
  </cols>
  <sheetData>
    <row r="1" ht="30" customHeight="1">
      <c r="A1" s="6">
        <f>"政策干预选择流程"</f>
        <v/>
      </c>
    </row>
    <row r="2">
      <c r="A2" s="9">
        <f>"通过以下步骤判断应采取的政策干预类型"</f>
        <v/>
      </c>
    </row>
    <row r="3" ht="20" customHeight="1">
      <c r="A3" s="6">
        <v>2</v>
      </c>
      <c r="B3" s="6">
        <v>3</v>
      </c>
      <c r="C3" s="6">
        <v>4</v>
      </c>
      <c r="D3" s="6">
        <v>5</v>
      </c>
    </row>
    <row r="4">
      <c r="A4" s="11">
        <v>7</v>
      </c>
      <c r="B4" s="11">
        <v>8</v>
      </c>
      <c r="C4" s="11">
        <v>9</v>
      </c>
      <c r="D4" s="12">
        <v>10</v>
      </c>
    </row>
    <row r="5">
      <c r="A5" s="13">
        <v>12</v>
      </c>
      <c r="B5" s="13">
        <v>13</v>
      </c>
      <c r="C5" s="13">
        <v>14</v>
      </c>
      <c r="D5" s="14">
        <v>15</v>
      </c>
    </row>
    <row r="6">
      <c r="A6" s="11">
        <v>17</v>
      </c>
      <c r="B6" s="11">
        <v>18</v>
      </c>
      <c r="C6" s="11">
        <v>19</v>
      </c>
      <c r="D6" s="12">
        <v>20</v>
      </c>
    </row>
    <row r="7">
      <c r="A7" s="13">
        <v>22</v>
      </c>
      <c r="B7" s="13">
        <v>23</v>
      </c>
      <c r="C7" s="13">
        <v>24</v>
      </c>
      <c r="D7" s="14">
        <v>25</v>
      </c>
    </row>
    <row r="8">
      <c r="A8" s="11">
        <v>27</v>
      </c>
      <c r="B8" s="11">
        <v>28</v>
      </c>
      <c r="C8" s="11">
        <v>29</v>
      </c>
      <c r="D8" s="12">
        <v>30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8" customWidth="1"/>
    <col min="2" max="2" width="22" customWidth="1"/>
    <col min="3" max="3" width="22" customWidth="1"/>
    <col min="4" max="4" width="12" customWidth="1"/>
    <col min="5" max="5" width="14" customWidth="1"/>
    <col min="6" max="6" width="20" customWidth="1"/>
  </cols>
  <sheetData>
    <row r="1" ht="28" customHeight="1">
      <c r="A1" s="6">
        <f>"政策效果追踪"</f>
        <v/>
      </c>
    </row>
    <row r="2" ht="20" customHeight="1">
      <c r="A2" s="6">
        <v>32</v>
      </c>
      <c r="B2" s="6">
        <v>33</v>
      </c>
      <c r="C2" s="6">
        <v>34</v>
      </c>
      <c r="D2" s="6">
        <v>35</v>
      </c>
      <c r="E2" s="6">
        <v>36</v>
      </c>
      <c r="F2" s="6">
        <v>37</v>
      </c>
    </row>
    <row r="38">
      <c r="A38" s="11">
        <v>38</v>
      </c>
      <c r="B38" s="11">
        <v>39</v>
      </c>
      <c r="C38" s="11">
        <v>40</v>
      </c>
      <c r="D38" s="11">
        <v>41</v>
      </c>
      <c r="E38" s="11">
        <v>42</v>
      </c>
      <c r="F38" s="11">
        <v>43</v>
      </c>
    </row>
    <row r="39">
      <c r="A39" s="13">
        <v>44</v>
      </c>
      <c r="B39" s="13">
        <v>45</v>
      </c>
      <c r="C39" s="13">
        <v>46</v>
      </c>
      <c r="D39" s="13">
        <v>47</v>
      </c>
      <c r="E39" s="13">
        <v>48</v>
      </c>
      <c r="F39" s="13">
        <v>49</v>
      </c>
    </row>
    <row r="40">
      <c r="A40" s="11"/>
      <c r="B40" s="11"/>
      <c r="C40" s="11"/>
      <c r="D40" s="11"/>
      <c r="E40" s="11"/>
      <c r="F40" s="11"/>
    </row>
    <row r="41">
      <c r="A41" s="13"/>
      <c r="B41" s="13"/>
      <c r="C41" s="13"/>
      <c r="D41" s="13"/>
      <c r="E41" s="13"/>
      <c r="F41" s="13"/>
    </row>
    <row r="42">
      <c r="A42" s="11"/>
      <c r="B42" s="11"/>
      <c r="C42" s="11"/>
      <c r="D42" s="11"/>
      <c r="E42" s="11"/>
      <c r="F42" s="11"/>
    </row>
    <row r="43">
      <c r="A43" s="13"/>
      <c r="B43" s="13"/>
      <c r="C43" s="13"/>
      <c r="D43" s="13"/>
      <c r="E43" s="13"/>
      <c r="F43" s="13"/>
    </row>
    <row r="44">
      <c r="A44" s="11"/>
      <c r="B44" s="11"/>
      <c r="C44" s="11"/>
      <c r="D44" s="11"/>
      <c r="E44" s="11"/>
      <c r="F44" s="11"/>
    </row>
    <row r="45">
      <c r="A45" s="13"/>
      <c r="B45" s="13"/>
      <c r="C45" s="13"/>
      <c r="D45" s="13"/>
      <c r="E45" s="13"/>
      <c r="F45" s="13"/>
    </row>
    <row r="46">
      <c r="A46" s="11"/>
      <c r="B46" s="11"/>
      <c r="C46" s="11"/>
      <c r="D46" s="11"/>
      <c r="E46" s="11"/>
      <c r="F46" s="11"/>
    </row>
    <row r="47">
      <c r="A47" s="13"/>
      <c r="B47" s="13"/>
      <c r="C47" s="13"/>
      <c r="D47" s="13"/>
      <c r="E47" s="13"/>
      <c r="F47" s="13"/>
    </row>
    <row r="48">
      <c r="A48" s="11"/>
      <c r="B48" s="11"/>
      <c r="C48" s="11"/>
      <c r="D48" s="11"/>
      <c r="E48" s="11"/>
      <c r="F48" s="11"/>
    </row>
    <row r="49">
      <c r="A49" s="13"/>
      <c r="B49" s="13"/>
      <c r="C49" s="13"/>
      <c r="D49" s="13"/>
      <c r="E49" s="13"/>
      <c r="F49" s="13"/>
    </row>
    <row r="50">
      <c r="A50" s="11"/>
      <c r="B50" s="11"/>
      <c r="C50" s="11"/>
      <c r="D50" s="11"/>
      <c r="E50" s="11"/>
      <c r="F5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20" customWidth="1"/>
    <col min="2" max="2" width="20" customWidth="1"/>
    <col min="3" max="3" width="14" customWidth="1"/>
    <col min="4" max="4" width="14" customWidth="1"/>
    <col min="5" max="5" width="22" customWidth="1"/>
    <col min="6" max="6" width="22" customWidth="1"/>
  </cols>
  <sheetData>
    <row r="1" ht="28" customHeight="1">
      <c r="A1" s="6">
        <f>"工具计算器"</f>
        <v/>
      </c>
    </row>
    <row r="2" ht="20" customHeight="1">
      <c r="A2" s="6">
        <v>38</v>
      </c>
      <c r="B2" s="6">
        <v>39</v>
      </c>
      <c r="C2" s="6">
        <v>40</v>
      </c>
      <c r="D2" s="6">
        <v>41</v>
      </c>
      <c r="E2" s="6">
        <v>42</v>
      </c>
      <c r="F2" s="6">
        <v>43</v>
      </c>
    </row>
    <row r="3">
      <c r="A3" s="11">
        <v>49</v>
      </c>
      <c r="B3" s="11">
        <v>50</v>
      </c>
      <c r="C3" s="11"/>
      <c r="D3" s="11">
        <v>51</v>
      </c>
      <c r="E3" s="11"/>
      <c r="F3" s="12">
        <v>52</v>
      </c>
    </row>
    <row r="4">
      <c r="A4" s="11"/>
      <c r="B4" s="11">
        <v>53</v>
      </c>
      <c r="C4" s="11"/>
      <c r="D4" s="11"/>
      <c r="E4" s="11"/>
      <c r="F4" s="12">
        <f>C3*E3</f>
        <v/>
      </c>
    </row>
    <row r="5">
      <c r="A5" s="12">
        <v>54</v>
      </c>
      <c r="B5" s="12" colspan="5">
        <v>55</v>
      </c>
    </row>
    <row r="6">
      <c r="A6" s="11">
        <v>56</v>
      </c>
      <c r="B6" s="11">
        <v>57</v>
      </c>
      <c r="C6" s="11"/>
      <c r="D6" s="11">
        <v>58</v>
      </c>
      <c r="E6" s="11"/>
      <c r="F6" s="12">
        <f>C6-E6</f>
        <v/>
      </c>
    </row>
    <row r="7">
      <c r="A7" s="11"/>
      <c r="B7" s="11">
        <v>59</v>
      </c>
      <c r="C7" s="11"/>
      <c r="D7" s="11"/>
      <c r="E7" s="11"/>
      <c r="F7" s="12">
        <f>IF(C6-E6&lt;0,(E6-C6)*I7,0)</f>
        <v/>
      </c>
    </row>
    <row r="8">
      <c r="A8" s="12">
        <v>60</v>
      </c>
      <c r="B8" s="11">
        <v>61</v>
      </c>
      <c r="C8" s="11"/>
      <c r="D8" s="12">
        <v>62</v>
      </c>
      <c r="E8" s="11"/>
      <c r="F8" s="12">
        <v>63</v>
      </c>
    </row>
    <row r="9">
      <c r="A9" s="11">
        <v>64</v>
      </c>
      <c r="B9" s="11">
        <v>65</v>
      </c>
      <c r="C9" s="11"/>
      <c r="D9" s="12">
        <v>66</v>
      </c>
      <c r="E9" s="11"/>
      <c r="F9" s="12">
        <f>ABS(C6-E6)*C9</f>
        <v/>
      </c>
    </row>
    <row r="10">
      <c r="A10" s="12" colspan="6">
        <v>67</v>
      </c>
    </row>
  </sheetData>
  <pageMargins left="0.7" right="0.7" top="0.75" bottom="0.75" header="0.3" footer="0.3"/>
</worksheet>
</file>